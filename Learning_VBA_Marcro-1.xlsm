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ACTE\1-VBA Macro-Nusrat Jahan\"/>
    </mc:Choice>
  </mc:AlternateContent>
  <xr:revisionPtr revIDLastSave="0" documentId="13_ncr:1_{58C91968-12CA-4FB0-A490-C9E978B95413}" xr6:coauthVersionLast="47" xr6:coauthVersionMax="47" xr10:uidLastSave="{00000000-0000-0000-0000-000000000000}"/>
  <bookViews>
    <workbookView xWindow="-120" yWindow="-120" windowWidth="20730" windowHeight="11160" tabRatio="716" activeTab="5" xr2:uid="{C19D536B-7894-4C1E-851E-B19628FD3F18}"/>
  </bookViews>
  <sheets>
    <sheet name="Super Store Data" sheetId="1" r:id="rId1"/>
    <sheet name="Sales &amp; Cost Table" sheetId="2" r:id="rId2"/>
    <sheet name="VBE" sheetId="3" r:id="rId3"/>
    <sheet name="VBA Programming Basics" sheetId="4" r:id="rId4"/>
    <sheet name="Operators" sheetId="5" r:id="rId5"/>
    <sheet name="Procedures &amp; Functions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6" l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2" i="6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" i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2" i="2"/>
  <c r="C20" i="2"/>
  <c r="B20" i="2"/>
  <c r="C18" i="2"/>
  <c r="B18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2" i="2"/>
  <c r="D3" i="6" a="1"/>
  <c r="D2" i="6" a="1"/>
  <c r="B2" i="6" a="1"/>
  <c r="B1" i="6" a="1"/>
  <c r="C5" i="6" a="1"/>
  <c r="F5" i="6" a="1"/>
  <c r="D3" i="6" l="1"/>
  <c r="D2" i="6"/>
  <c r="B2" i="6"/>
  <c r="B1" i="6"/>
  <c r="C5" i="6"/>
  <c r="F5" i="6"/>
  <c r="D20" i="2"/>
  <c r="D1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<sst xmlns="http://schemas.openxmlformats.org/spreadsheetml/2006/main" count="84" uniqueCount="63">
  <si>
    <t>Sr. No.</t>
  </si>
  <si>
    <t>Product Name</t>
  </si>
  <si>
    <t>Sales Qyt</t>
  </si>
  <si>
    <t>Sales Amt</t>
  </si>
  <si>
    <t>Rice</t>
  </si>
  <si>
    <t>Wheat Flour (Atta)</t>
  </si>
  <si>
    <t>Sugar</t>
  </si>
  <si>
    <t>Salt</t>
  </si>
  <si>
    <t>Cooking Oil</t>
  </si>
  <si>
    <t>Milk</t>
  </si>
  <si>
    <t>Bread</t>
  </si>
  <si>
    <t>Eggs</t>
  </si>
  <si>
    <t>Butter</t>
  </si>
  <si>
    <t>Cheese</t>
  </si>
  <si>
    <t>Tea</t>
  </si>
  <si>
    <t>Coffee</t>
  </si>
  <si>
    <t>Biscuits</t>
  </si>
  <si>
    <t>Soft Drinks (Cola, Sprite, etc.)</t>
  </si>
  <si>
    <t>Soap</t>
  </si>
  <si>
    <t>Shampoo</t>
  </si>
  <si>
    <t>Detergent Powder</t>
  </si>
  <si>
    <t>Toothpaste</t>
  </si>
  <si>
    <t>Toilet Paper</t>
  </si>
  <si>
    <t>Packaged Snacks</t>
  </si>
  <si>
    <t>Name</t>
  </si>
  <si>
    <t>Score</t>
  </si>
  <si>
    <t>Amit</t>
  </si>
  <si>
    <t>Riya</t>
  </si>
  <si>
    <t>Sunil</t>
  </si>
  <si>
    <t>Product</t>
  </si>
  <si>
    <t>Sales</t>
  </si>
  <si>
    <t>Cost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</si>
  <si>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</si>
  <si>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</si>
  <si>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</si>
  <si>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</si>
  <si>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</si>
  <si>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</si>
  <si>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</si>
  <si>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</si>
  <si>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</si>
  <si>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</si>
  <si>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</si>
  <si>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</si>
  <si>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</si>
  <si>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</si>
  <si>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</si>
  <si>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Profit</t>
  </si>
  <si>
    <t>Total Sum</t>
  </si>
  <si>
    <t>Total Avg.</t>
  </si>
  <si>
    <t>Add</t>
  </si>
  <si>
    <t>Sub</t>
  </si>
  <si>
    <t>Multi</t>
  </si>
  <si>
    <t>Total Amt</t>
  </si>
  <si>
    <t>jj</t>
  </si>
  <si>
    <t>Radius</t>
  </si>
  <si>
    <t>Put Marks</t>
  </si>
  <si>
    <t>X</t>
  </si>
  <si>
    <t>Y</t>
  </si>
  <si>
    <t>Age</t>
  </si>
  <si>
    <t>Salary</t>
  </si>
  <si>
    <t>Nusrat</t>
  </si>
  <si>
    <t>Abc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</si>
</sst>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_);\(0\)"/>
  </numFmts>
  <fonts count="4" x14ac:knownFonts="1"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1" xfId="0" applyFill="1" applyBorder="1"/>
    <xf numFmtId="0" fontId="0" fillId="0" borderId="1" xfId="0" applyBorder="1" applyAlignment="1">
      <alignment horizontal="left"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/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5" borderId="1" xfId="0" applyFont="1" applyFill="1" applyBorder="1"/>
    <xf numFmtId="0" fontId="0" fillId="3" borderId="1" xfId="0" applyFill="1" applyBorder="1"/>
    <xf numFmtId="0" fontId="0" fillId="6" borderId="1" xfId="0" applyFill="1" applyBorder="1" applyAlignment="1">
      <alignment horizontal="center" vertical="center" wrapText="1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2" xfId="0" applyFill="1" applyBorder="1"/>
    <xf numFmtId="0" fontId="0" fillId="7" borderId="1" xfId="0" applyFill="1" applyBorder="1"/>
    <xf numFmtId="0" fontId="0" fillId="4" borderId="1" xfId="0" applyFill="1" applyBorder="1"/>
    <xf numFmtId="0" fontId="0" fillId="4" borderId="1" xfId="0" applyFill="1" applyBorder="1" applyAlignment="1">
      <alignment horizontal="center" vertical="center" wrapText="1"/>
    </xf>
    <xf numFmtId="164" fontId="0" fillId="0" borderId="0" xfId="0" applyNumberFormat="1"/>
    <xf numFmtId="165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</xdr:row>
          <xdr:rowOff>28575</xdr:rowOff>
        </xdr:from>
        <xdr:to>
          <xdr:col>4</xdr:col>
          <xdr:colOff>419100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Data_Check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4</xdr:row>
          <xdr:rowOff>161925</xdr:rowOff>
        </xdr:from>
        <xdr:to>
          <xdr:col>4</xdr:col>
          <xdr:colOff>447675</xdr:colOff>
          <xdr:row>6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Variable_Check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7</xdr:row>
          <xdr:rowOff>161925</xdr:rowOff>
        </xdr:from>
        <xdr:to>
          <xdr:col>4</xdr:col>
          <xdr:colOff>457200</xdr:colOff>
          <xdr:row>9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Area Of Circle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10</xdr:row>
          <xdr:rowOff>38100</xdr:rowOff>
        </xdr:from>
        <xdr:to>
          <xdr:col>4</xdr:col>
          <xdr:colOff>447675</xdr:colOff>
          <xdr:row>11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Integer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12</xdr:row>
          <xdr:rowOff>171450</xdr:rowOff>
        </xdr:from>
        <xdr:to>
          <xdr:col>4</xdr:col>
          <xdr:colOff>447675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Long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457200</xdr:colOff>
          <xdr:row>16</xdr:row>
          <xdr:rowOff>0</xdr:rowOff>
        </xdr:from>
        <xdr:to>
          <xdr:col>4</xdr:col>
          <xdr:colOff>428625</xdr:colOff>
          <xdr:row>17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Single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1</xdr:row>
          <xdr:rowOff>38100</xdr:rowOff>
        </xdr:from>
        <xdr:to>
          <xdr:col>7</xdr:col>
          <xdr:colOff>581025</xdr:colOff>
          <xdr:row>2</xdr:row>
          <xdr:rowOff>171450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Double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7</xdr:col>
          <xdr:colOff>590550</xdr:colOff>
          <xdr:row>5</xdr:row>
          <xdr:rowOff>171450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Currency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6</xdr:row>
          <xdr:rowOff>180975</xdr:rowOff>
        </xdr:from>
        <xdr:to>
          <xdr:col>7</xdr:col>
          <xdr:colOff>590550</xdr:colOff>
          <xdr:row>8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3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8</xdr:col>
          <xdr:colOff>0</xdr:colOff>
          <xdr:row>12</xdr:row>
          <xdr:rowOff>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Boolean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0</xdr:rowOff>
        </xdr:from>
        <xdr:to>
          <xdr:col>8</xdr:col>
          <xdr:colOff>9525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3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Boolean_Put_Mark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16</xdr:row>
          <xdr:rowOff>9525</xdr:rowOff>
        </xdr:from>
        <xdr:to>
          <xdr:col>7</xdr:col>
          <xdr:colOff>590550</xdr:colOff>
          <xdr:row>17</xdr:row>
          <xdr:rowOff>238125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Variant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171450</xdr:rowOff>
        </xdr:from>
        <xdr:to>
          <xdr:col>17</xdr:col>
          <xdr:colOff>19050</xdr:colOff>
          <xdr:row>2</xdr:row>
          <xdr:rowOff>171450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3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Structure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95250</xdr:rowOff>
        </xdr:from>
        <xdr:to>
          <xdr:col>4</xdr:col>
          <xdr:colOff>276225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Arithmetic Operators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5</xdr:row>
          <xdr:rowOff>0</xdr:rowOff>
        </xdr:from>
        <xdr:to>
          <xdr:col>4</xdr:col>
          <xdr:colOff>276225</xdr:colOff>
          <xdr:row>7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Comparison Operators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9</xdr:row>
          <xdr:rowOff>0</xdr:rowOff>
        </xdr:from>
        <xdr:to>
          <xdr:col>4</xdr:col>
          <xdr:colOff>352425</xdr:colOff>
          <xdr:row>11</xdr:row>
          <xdr:rowOff>47625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12</xdr:row>
          <xdr:rowOff>76200</xdr:rowOff>
        </xdr:from>
        <xdr:to>
          <xdr:col>4</xdr:col>
          <xdr:colOff>381000</xdr:colOff>
          <xdr:row>14</xdr:row>
          <xdr:rowOff>180975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16</xdr:row>
          <xdr:rowOff>0</xdr:rowOff>
        </xdr:from>
        <xdr:to>
          <xdr:col>4</xdr:col>
          <xdr:colOff>352425</xdr:colOff>
          <xdr:row>18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D211A-5272-40BC-B935-3EBB979E9A37}">
  <sheetPr codeName="Sheet1">
    <tabColor rgb="FFFFFF00"/>
  </sheetPr>
  <dimension ref="A1:K21"/>
  <sheetViews>
    <sheetView workbookViewId="0">
      <selection activeCell="I9" sqref="I9"/>
    </sheetView>
  </sheetViews>
  <sheetFormatPr defaultRowHeight="15" x14ac:dyDescent="0.25"/>
  <cols>
    <col min="1" max="1" width="6.85546875" bestFit="1" customWidth="1"/>
    <col min="2" max="2" width="27" bestFit="1" customWidth="1"/>
    <col min="3" max="3" width="9" bestFit="1" customWidth="1"/>
    <col min="4" max="4" width="9.5703125" bestFit="1" customWidth="1"/>
  </cols>
  <sheetData>
    <row r="1" spans="1:11" ht="18.75" x14ac:dyDescent="0.25">
      <c r="A1" s="13" t="s">
        <v>0</v>
      </c>
      <c r="B1" s="13" t="s">
        <v>1</v>
      </c>
      <c r="C1" s="13" t="s">
        <v>2</v>
      </c>
      <c r="D1" s="14" t="s">
        <v>3</v>
      </c>
      <c r="E1" s="15" t="s">
        <v>53</v>
      </c>
      <c r="J1" s="3" t="s">
        <v>24</v>
      </c>
      <c r="K1" s="3" t="s">
        <v>25</v>
      </c>
    </row>
    <row r="2" spans="1:11" x14ac:dyDescent="0.25">
      <c r="A2" s="1">
        <v>1</v>
      </c>
      <c r="B2" s="1" t="s">
        <v>4</v>
      </c>
      <c r="C2" s="1">
        <v>10</v>
      </c>
      <c r="D2" s="16">
        <v>650</v>
      </c>
      <c r="E2" s="17">
        <f>C2*D2</f>
        <v>6500</v>
      </c>
      <c r="J2" s="2" t="s">
        <v>26</v>
      </c>
      <c r="K2" s="2">
        <v>85</v>
      </c>
    </row>
    <row r="3" spans="1:11" x14ac:dyDescent="0.25">
      <c r="A3" s="1">
        <v>2</v>
      </c>
      <c r="B3" s="1" t="s">
        <v>5</v>
      </c>
      <c r="C3" s="1">
        <v>5</v>
      </c>
      <c r="D3" s="16">
        <v>250</v>
      </c>
      <c r="E3" s="17">
        <f t="shared" ref="E3:E21" si="0">C3*D3</f>
        <v>1250</v>
      </c>
      <c r="J3" s="2" t="s">
        <v>27</v>
      </c>
      <c r="K3" s="2">
        <v>90</v>
      </c>
    </row>
    <row r="4" spans="1:11" x14ac:dyDescent="0.25">
      <c r="A4" s="1">
        <v>3</v>
      </c>
      <c r="B4" s="1" t="s">
        <v>6</v>
      </c>
      <c r="C4" s="1">
        <v>2</v>
      </c>
      <c r="D4" s="16">
        <v>100</v>
      </c>
      <c r="E4" s="17">
        <f t="shared" si="0"/>
        <v>200</v>
      </c>
      <c r="J4" s="2" t="s">
        <v>28</v>
      </c>
      <c r="K4" s="2">
        <v>75</v>
      </c>
    </row>
    <row r="5" spans="1:11" x14ac:dyDescent="0.25">
      <c r="A5" s="1">
        <v>4</v>
      </c>
      <c r="B5" s="1" t="s">
        <v>7</v>
      </c>
      <c r="C5" s="1">
        <v>1</v>
      </c>
      <c r="D5" s="16">
        <v>20</v>
      </c>
      <c r="E5" s="17">
        <f t="shared" si="0"/>
        <v>20</v>
      </c>
    </row>
    <row r="6" spans="1:11" x14ac:dyDescent="0.25">
      <c r="A6" s="1">
        <v>5</v>
      </c>
      <c r="B6" s="1" t="s">
        <v>8</v>
      </c>
      <c r="C6" s="1">
        <v>1</v>
      </c>
      <c r="D6" s="16">
        <v>150</v>
      </c>
      <c r="E6" s="17">
        <f t="shared" si="0"/>
        <v>150</v>
      </c>
    </row>
    <row r="7" spans="1:11" x14ac:dyDescent="0.25">
      <c r="A7" s="1">
        <v>6</v>
      </c>
      <c r="B7" s="1" t="s">
        <v>9</v>
      </c>
      <c r="C7" s="1">
        <v>1</v>
      </c>
      <c r="D7" s="16">
        <v>60</v>
      </c>
      <c r="E7" s="17">
        <f t="shared" si="0"/>
        <v>60</v>
      </c>
    </row>
    <row r="8" spans="1:11" x14ac:dyDescent="0.25">
      <c r="A8" s="1">
        <v>7</v>
      </c>
      <c r="B8" s="1" t="s">
        <v>10</v>
      </c>
      <c r="C8" s="1">
        <v>1</v>
      </c>
      <c r="D8" s="16">
        <v>40</v>
      </c>
      <c r="E8" s="17">
        <f t="shared" si="0"/>
        <v>40</v>
      </c>
    </row>
    <row r="9" spans="1:11" x14ac:dyDescent="0.25">
      <c r="A9" s="1">
        <v>8</v>
      </c>
      <c r="B9" s="1" t="s">
        <v>11</v>
      </c>
      <c r="C9" s="1">
        <v>12</v>
      </c>
      <c r="D9" s="16">
        <v>75</v>
      </c>
      <c r="E9" s="17">
        <f t="shared" si="0"/>
        <v>900</v>
      </c>
    </row>
    <row r="10" spans="1:11" x14ac:dyDescent="0.25">
      <c r="A10" s="1">
        <v>9</v>
      </c>
      <c r="B10" s="1" t="s">
        <v>12</v>
      </c>
      <c r="C10" s="1">
        <v>500</v>
      </c>
      <c r="D10" s="16">
        <v>250</v>
      </c>
      <c r="E10" s="17">
        <f t="shared" si="0"/>
        <v>125000</v>
      </c>
    </row>
    <row r="11" spans="1:11" x14ac:dyDescent="0.25">
      <c r="A11" s="1">
        <v>10</v>
      </c>
      <c r="B11" s="1" t="s">
        <v>13</v>
      </c>
      <c r="C11" s="1">
        <v>200</v>
      </c>
      <c r="D11" s="16">
        <v>120</v>
      </c>
      <c r="E11" s="17">
        <f t="shared" si="0"/>
        <v>24000</v>
      </c>
    </row>
    <row r="12" spans="1:11" x14ac:dyDescent="0.25">
      <c r="A12" s="1">
        <v>11</v>
      </c>
      <c r="B12" s="1" t="s">
        <v>14</v>
      </c>
      <c r="C12" s="1">
        <v>500</v>
      </c>
      <c r="D12" s="16">
        <v>250</v>
      </c>
      <c r="E12" s="17">
        <f t="shared" si="0"/>
        <v>125000</v>
      </c>
    </row>
    <row r="13" spans="1:11" x14ac:dyDescent="0.25">
      <c r="A13" s="1">
        <v>12</v>
      </c>
      <c r="B13" s="1" t="s">
        <v>15</v>
      </c>
      <c r="C13" s="1">
        <v>200</v>
      </c>
      <c r="D13" s="16">
        <v>350</v>
      </c>
      <c r="E13" s="17">
        <f t="shared" si="0"/>
        <v>70000</v>
      </c>
    </row>
    <row r="14" spans="1:11" x14ac:dyDescent="0.25">
      <c r="A14" s="1">
        <v>13</v>
      </c>
      <c r="B14" s="1" t="s">
        <v>16</v>
      </c>
      <c r="C14" s="1">
        <v>1</v>
      </c>
      <c r="D14" s="16">
        <v>30</v>
      </c>
      <c r="E14" s="17">
        <f t="shared" si="0"/>
        <v>30</v>
      </c>
    </row>
    <row r="15" spans="1:11" x14ac:dyDescent="0.25">
      <c r="A15" s="1">
        <v>14</v>
      </c>
      <c r="B15" s="1" t="s">
        <v>17</v>
      </c>
      <c r="C15" s="1">
        <v>2</v>
      </c>
      <c r="D15" s="16">
        <v>100</v>
      </c>
      <c r="E15" s="17">
        <f t="shared" si="0"/>
        <v>200</v>
      </c>
    </row>
    <row r="16" spans="1:11" x14ac:dyDescent="0.25">
      <c r="A16" s="1">
        <v>15</v>
      </c>
      <c r="B16" s="1" t="s">
        <v>18</v>
      </c>
      <c r="C16" s="1">
        <v>4</v>
      </c>
      <c r="D16" s="16">
        <v>140</v>
      </c>
      <c r="E16" s="17">
        <f t="shared" si="0"/>
        <v>560</v>
      </c>
    </row>
    <row r="17" spans="1:5" x14ac:dyDescent="0.25">
      <c r="A17" s="1">
        <v>16</v>
      </c>
      <c r="B17" s="1" t="s">
        <v>19</v>
      </c>
      <c r="C17" s="1">
        <v>500</v>
      </c>
      <c r="D17" s="16">
        <v>250</v>
      </c>
      <c r="E17" s="17">
        <f t="shared" si="0"/>
        <v>125000</v>
      </c>
    </row>
    <row r="18" spans="1:5" x14ac:dyDescent="0.25">
      <c r="A18" s="1">
        <v>17</v>
      </c>
      <c r="B18" s="1" t="s">
        <v>20</v>
      </c>
      <c r="C18" s="1">
        <v>2</v>
      </c>
      <c r="D18" s="16">
        <v>180</v>
      </c>
      <c r="E18" s="17">
        <f t="shared" si="0"/>
        <v>360</v>
      </c>
    </row>
    <row r="19" spans="1:5" x14ac:dyDescent="0.25">
      <c r="A19" s="1">
        <v>18</v>
      </c>
      <c r="B19" s="1" t="s">
        <v>21</v>
      </c>
      <c r="C19" s="1">
        <v>200</v>
      </c>
      <c r="D19" s="16">
        <v>110</v>
      </c>
      <c r="E19" s="17">
        <f t="shared" si="0"/>
        <v>22000</v>
      </c>
    </row>
    <row r="20" spans="1:5" x14ac:dyDescent="0.25">
      <c r="A20" s="1">
        <v>19</v>
      </c>
      <c r="B20" s="1" t="s">
        <v>22</v>
      </c>
      <c r="C20" s="1">
        <v>4</v>
      </c>
      <c r="D20" s="16">
        <v>120</v>
      </c>
      <c r="E20" s="17">
        <f t="shared" si="0"/>
        <v>480</v>
      </c>
    </row>
    <row r="21" spans="1:5" x14ac:dyDescent="0.25">
      <c r="A21" s="1">
        <v>20</v>
      </c>
      <c r="B21" s="1" t="s">
        <v>23</v>
      </c>
      <c r="C21" s="1">
        <v>1</v>
      </c>
      <c r="D21" s="16">
        <v>20</v>
      </c>
      <c r="E21" s="17">
        <f t="shared" si="0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97AB0-C1BB-468C-AF8C-A28AB2B1D7F9}">
  <sheetPr codeName="Sheet2">
    <tabColor rgb="FFFF0000"/>
  </sheetPr>
  <dimension ref="A1:O20"/>
  <sheetViews>
    <sheetView workbookViewId="0">
      <selection activeCell="G16" sqref="G16"/>
    </sheetView>
  </sheetViews>
  <sheetFormatPr defaultRowHeight="15" x14ac:dyDescent="0.25"/>
  <cols>
    <col min="1" max="1" width="9.7109375" bestFit="1" customWidth="1"/>
  </cols>
  <sheetData>
    <row r="1" spans="1:15" x14ac:dyDescent="0.25">
      <c r="A1" s="18" t="s">
        <v>29</v>
      </c>
      <c r="B1" s="18" t="s">
        <v>30</v>
      </c>
      <c r="C1" s="18" t="s">
        <v>31</v>
      </c>
      <c r="D1" s="19" t="s">
        <v>47</v>
      </c>
      <c r="I1" s="4" t="s">
        <v>29</v>
      </c>
      <c r="J1" s="4" t="s">
        <v>30</v>
      </c>
      <c r="K1" s="4" t="s">
        <v>31</v>
      </c>
      <c r="M1" s="12" t="s">
        <v>50</v>
      </c>
      <c r="N1" s="12" t="s">
        <v>51</v>
      </c>
      <c r="O1" s="12" t="s">
        <v>52</v>
      </c>
    </row>
    <row r="2" spans="1:15" x14ac:dyDescent="0.25">
      <c r="A2" s="6" t="s">
        <v>32</v>
      </c>
      <c r="B2" s="6">
        <v>1200</v>
      </c>
      <c r="C2" s="6">
        <v>800</v>
      </c>
      <c r="D2" s="7">
        <f>B2-C2</f>
        <v>400</v>
      </c>
      <c r="I2" s="5" t="s">
        <v>32</v>
      </c>
      <c r="J2" s="5">
        <v>1200</v>
      </c>
      <c r="K2" s="5">
        <v>800</v>
      </c>
      <c r="M2" s="11">
        <f>K2+L2</f>
        <v>800</v>
      </c>
      <c r="N2" s="11">
        <f>K2-L2</f>
        <v>800</v>
      </c>
      <c r="O2" s="11">
        <f>K2*L2</f>
        <v>0</v>
      </c>
    </row>
    <row r="3" spans="1:15" x14ac:dyDescent="0.25">
      <c r="A3" s="6" t="s">
        <v>33</v>
      </c>
      <c r="B3" s="6">
        <v>1500</v>
      </c>
      <c r="C3" s="6">
        <v>900</v>
      </c>
      <c r="D3" s="7">
        <f t="shared" ref="D3:D16" si="0">B3-C3</f>
        <v>600</v>
      </c>
      <c r="I3" s="5" t="s">
        <v>33</v>
      </c>
      <c r="J3" s="5">
        <v>1500</v>
      </c>
      <c r="K3" s="5">
        <v>900</v>
      </c>
      <c r="M3" s="11">
        <f t="shared" ref="M3:M16" si="1">K3+L3</f>
        <v>900</v>
      </c>
      <c r="N3" s="11">
        <f t="shared" ref="N3:N16" si="2">K3-L3</f>
        <v>900</v>
      </c>
      <c r="O3" s="11">
        <f t="shared" ref="O3:O16" si="3">K3*L3</f>
        <v>0</v>
      </c>
    </row>
    <row r="4" spans="1:15" x14ac:dyDescent="0.25">
      <c r="A4" s="6" t="s">
        <v>34</v>
      </c>
      <c r="B4" s="6">
        <v>1800</v>
      </c>
      <c r="C4" s="6">
        <v>1200</v>
      </c>
      <c r="D4" s="7">
        <f t="shared" si="0"/>
        <v>600</v>
      </c>
      <c r="I4" s="5" t="s">
        <v>34</v>
      </c>
      <c r="J4" s="5">
        <v>1800</v>
      </c>
      <c r="K4" s="5">
        <v>1200</v>
      </c>
      <c r="M4" s="11">
        <f t="shared" si="1"/>
        <v>1200</v>
      </c>
      <c r="N4" s="11">
        <f t="shared" si="2"/>
        <v>1200</v>
      </c>
      <c r="O4" s="11">
        <f t="shared" si="3"/>
        <v>0</v>
      </c>
    </row>
    <row r="5" spans="1:15" x14ac:dyDescent="0.25">
      <c r="A5" s="6" t="s">
        <v>35</v>
      </c>
      <c r="B5" s="6">
        <v>2100</v>
      </c>
      <c r="C5" s="6">
        <v>1500</v>
      </c>
      <c r="D5" s="7">
        <f t="shared" si="0"/>
        <v>600</v>
      </c>
      <c r="I5" s="5" t="s">
        <v>35</v>
      </c>
      <c r="J5" s="5">
        <v>2100</v>
      </c>
      <c r="K5" s="5">
        <v>1500</v>
      </c>
      <c r="M5" s="11">
        <f t="shared" si="1"/>
        <v>1500</v>
      </c>
      <c r="N5" s="11">
        <f t="shared" si="2"/>
        <v>1500</v>
      </c>
      <c r="O5" s="11">
        <f t="shared" si="3"/>
        <v>0</v>
      </c>
    </row>
    <row r="6" spans="1:15" x14ac:dyDescent="0.25">
      <c r="A6" s="6" t="s">
        <v>36</v>
      </c>
      <c r="B6" s="6">
        <v>1600</v>
      </c>
      <c r="C6" s="6">
        <v>1000</v>
      </c>
      <c r="D6" s="7">
        <f t="shared" si="0"/>
        <v>600</v>
      </c>
      <c r="I6" s="5" t="s">
        <v>36</v>
      </c>
      <c r="J6" s="5">
        <v>1600</v>
      </c>
      <c r="K6" s="5">
        <v>1000</v>
      </c>
      <c r="M6" s="11">
        <f t="shared" si="1"/>
        <v>1000</v>
      </c>
      <c r="N6" s="11">
        <f t="shared" si="2"/>
        <v>1000</v>
      </c>
      <c r="O6" s="11">
        <f t="shared" si="3"/>
        <v>0</v>
      </c>
    </row>
    <row r="7" spans="1:15" x14ac:dyDescent="0.25">
      <c r="A7" s="6" t="s">
        <v>37</v>
      </c>
      <c r="B7" s="6">
        <v>2000</v>
      </c>
      <c r="C7" s="6">
        <v>1400</v>
      </c>
      <c r="D7" s="7">
        <f t="shared" si="0"/>
        <v>600</v>
      </c>
      <c r="I7" s="5" t="s">
        <v>37</v>
      </c>
      <c r="J7" s="5">
        <v>2000</v>
      </c>
      <c r="K7" s="5">
        <v>1400</v>
      </c>
      <c r="M7" s="11">
        <f t="shared" si="1"/>
        <v>1400</v>
      </c>
      <c r="N7" s="11">
        <f t="shared" si="2"/>
        <v>1400</v>
      </c>
      <c r="O7" s="11">
        <f t="shared" si="3"/>
        <v>0</v>
      </c>
    </row>
    <row r="8" spans="1:15" x14ac:dyDescent="0.25">
      <c r="A8" s="6" t="s">
        <v>38</v>
      </c>
      <c r="B8" s="6">
        <v>1700</v>
      </c>
      <c r="C8" s="6">
        <v>1200</v>
      </c>
      <c r="D8" s="7">
        <f t="shared" si="0"/>
        <v>500</v>
      </c>
      <c r="G8" t="s">
        <v>54</v>
      </c>
      <c r="I8" s="5" t="s">
        <v>38</v>
      </c>
      <c r="J8" s="5">
        <v>1700</v>
      </c>
      <c r="K8" s="5">
        <v>1200</v>
      </c>
      <c r="M8" s="11">
        <f t="shared" si="1"/>
        <v>1200</v>
      </c>
      <c r="N8" s="11">
        <f t="shared" si="2"/>
        <v>1200</v>
      </c>
      <c r="O8" s="11">
        <f t="shared" si="3"/>
        <v>0</v>
      </c>
    </row>
    <row r="9" spans="1:15" x14ac:dyDescent="0.25">
      <c r="A9" s="6" t="s">
        <v>39</v>
      </c>
      <c r="B9" s="6">
        <v>2300</v>
      </c>
      <c r="C9" s="6">
        <v>1500</v>
      </c>
      <c r="D9" s="7">
        <f t="shared" si="0"/>
        <v>800</v>
      </c>
      <c r="I9" s="5" t="s">
        <v>39</v>
      </c>
      <c r="J9" s="5">
        <v>2300</v>
      </c>
      <c r="K9" s="5">
        <v>1500</v>
      </c>
      <c r="M9" s="11">
        <f t="shared" si="1"/>
        <v>1500</v>
      </c>
      <c r="N9" s="11">
        <f t="shared" si="2"/>
        <v>1500</v>
      </c>
      <c r="O9" s="11">
        <f t="shared" si="3"/>
        <v>0</v>
      </c>
    </row>
    <row r="10" spans="1:15" x14ac:dyDescent="0.25">
      <c r="A10" s="6" t="s">
        <v>40</v>
      </c>
      <c r="B10" s="6">
        <v>2500</v>
      </c>
      <c r="C10" s="6">
        <v>1600</v>
      </c>
      <c r="D10" s="7">
        <f t="shared" si="0"/>
        <v>900</v>
      </c>
      <c r="I10" s="5" t="s">
        <v>40</v>
      </c>
      <c r="J10" s="5">
        <v>2500</v>
      </c>
      <c r="K10" s="5">
        <v>1600</v>
      </c>
      <c r="M10" s="11">
        <f t="shared" si="1"/>
        <v>1600</v>
      </c>
      <c r="N10" s="11">
        <f t="shared" si="2"/>
        <v>1600</v>
      </c>
      <c r="O10" s="11">
        <f t="shared" si="3"/>
        <v>0</v>
      </c>
    </row>
    <row r="11" spans="1:15" x14ac:dyDescent="0.25">
      <c r="A11" s="6" t="s">
        <v>41</v>
      </c>
      <c r="B11" s="6">
        <v>2200</v>
      </c>
      <c r="C11" s="6">
        <v>1500</v>
      </c>
      <c r="D11" s="7">
        <f t="shared" si="0"/>
        <v>700</v>
      </c>
      <c r="I11" s="5" t="s">
        <v>41</v>
      </c>
      <c r="J11" s="5">
        <v>2200</v>
      </c>
      <c r="K11" s="5">
        <v>1500</v>
      </c>
      <c r="M11" s="11">
        <f t="shared" si="1"/>
        <v>1500</v>
      </c>
      <c r="N11" s="11">
        <f t="shared" si="2"/>
        <v>1500</v>
      </c>
      <c r="O11" s="11">
        <f t="shared" si="3"/>
        <v>0</v>
      </c>
    </row>
    <row r="12" spans="1:15" x14ac:dyDescent="0.25">
      <c r="A12" s="6" t="s">
        <v>42</v>
      </c>
      <c r="B12" s="6">
        <v>1950</v>
      </c>
      <c r="C12" s="6">
        <v>1350</v>
      </c>
      <c r="D12" s="7">
        <f t="shared" si="0"/>
        <v>600</v>
      </c>
      <c r="I12" s="5" t="s">
        <v>42</v>
      </c>
      <c r="J12" s="5">
        <v>1950</v>
      </c>
      <c r="K12" s="5">
        <v>1350</v>
      </c>
      <c r="M12" s="11">
        <f t="shared" si="1"/>
        <v>1350</v>
      </c>
      <c r="N12" s="11">
        <f t="shared" si="2"/>
        <v>1350</v>
      </c>
      <c r="O12" s="11">
        <f t="shared" si="3"/>
        <v>0</v>
      </c>
    </row>
    <row r="13" spans="1:15" x14ac:dyDescent="0.25">
      <c r="A13" s="6" t="s">
        <v>43</v>
      </c>
      <c r="B13" s="6">
        <v>1850</v>
      </c>
      <c r="C13" s="6">
        <v>1200</v>
      </c>
      <c r="D13" s="7">
        <f t="shared" si="0"/>
        <v>650</v>
      </c>
      <c r="I13" s="5" t="s">
        <v>43</v>
      </c>
      <c r="J13" s="5">
        <v>1850</v>
      </c>
      <c r="K13" s="5">
        <v>1200</v>
      </c>
      <c r="M13" s="11">
        <f t="shared" si="1"/>
        <v>1200</v>
      </c>
      <c r="N13" s="11">
        <f t="shared" si="2"/>
        <v>1200</v>
      </c>
      <c r="O13" s="11">
        <f t="shared" si="3"/>
        <v>0</v>
      </c>
    </row>
    <row r="14" spans="1:15" x14ac:dyDescent="0.25">
      <c r="A14" s="6" t="s">
        <v>44</v>
      </c>
      <c r="B14" s="6">
        <v>2400</v>
      </c>
      <c r="C14" s="6">
        <v>1700</v>
      </c>
      <c r="D14" s="7">
        <f t="shared" si="0"/>
        <v>700</v>
      </c>
      <c r="I14" s="5" t="s">
        <v>44</v>
      </c>
      <c r="J14" s="5">
        <v>2400</v>
      </c>
      <c r="K14" s="5">
        <v>1700</v>
      </c>
      <c r="M14" s="11">
        <f t="shared" si="1"/>
        <v>1700</v>
      </c>
      <c r="N14" s="11">
        <f t="shared" si="2"/>
        <v>1700</v>
      </c>
      <c r="O14" s="11">
        <f t="shared" si="3"/>
        <v>0</v>
      </c>
    </row>
    <row r="15" spans="1:15" x14ac:dyDescent="0.25">
      <c r="A15" s="6" t="s">
        <v>45</v>
      </c>
      <c r="B15" s="6">
        <v>2600</v>
      </c>
      <c r="C15" s="6">
        <v>1800</v>
      </c>
      <c r="D15" s="7">
        <f t="shared" si="0"/>
        <v>800</v>
      </c>
      <c r="I15" s="5" t="s">
        <v>45</v>
      </c>
      <c r="J15" s="5">
        <v>2600</v>
      </c>
      <c r="K15" s="5">
        <v>1800</v>
      </c>
      <c r="M15" s="11">
        <f t="shared" si="1"/>
        <v>1800</v>
      </c>
      <c r="N15" s="11">
        <f t="shared" si="2"/>
        <v>1800</v>
      </c>
      <c r="O15" s="11">
        <f t="shared" si="3"/>
        <v>0</v>
      </c>
    </row>
    <row r="16" spans="1:15" x14ac:dyDescent="0.25">
      <c r="A16" s="6" t="s">
        <v>46</v>
      </c>
      <c r="B16" s="6">
        <v>2800</v>
      </c>
      <c r="C16" s="6">
        <v>2000</v>
      </c>
      <c r="D16" s="7">
        <f t="shared" si="0"/>
        <v>800</v>
      </c>
      <c r="I16" s="5" t="s">
        <v>46</v>
      </c>
      <c r="J16" s="5">
        <v>2800</v>
      </c>
      <c r="K16" s="5">
        <v>2000</v>
      </c>
      <c r="M16" s="11">
        <f t="shared" si="1"/>
        <v>2000</v>
      </c>
      <c r="N16" s="11">
        <f t="shared" si="2"/>
        <v>2000</v>
      </c>
      <c r="O16" s="11">
        <f t="shared" si="3"/>
        <v>0</v>
      </c>
    </row>
    <row r="18" spans="1:4" ht="20.25" customHeight="1" x14ac:dyDescent="0.25">
      <c r="A18" s="8" t="s">
        <v>48</v>
      </c>
      <c r="B18" s="9">
        <f>SUM(B2:B16)</f>
        <v>30500</v>
      </c>
      <c r="C18" s="9">
        <f>SUM(C2:C16)</f>
        <v>20650</v>
      </c>
      <c r="D18" s="9">
        <f>SUM(D2:D16)</f>
        <v>9850</v>
      </c>
    </row>
    <row r="20" spans="1:4" x14ac:dyDescent="0.25">
      <c r="A20" s="10" t="s">
        <v>49</v>
      </c>
      <c r="B20" s="10">
        <f>AVERAGE(B2:B16)</f>
        <v>2033.3333333333333</v>
      </c>
      <c r="C20" s="10">
        <f>AVERAGE(C2:C16)</f>
        <v>1376.6666666666667</v>
      </c>
      <c r="D20" s="10">
        <f>AVERAGE(D2:D16)</f>
        <v>656.66666666666663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7A480-AF47-42C9-819E-60E9C0AD0B39}">
  <sheetPr codeName="Sheet3">
    <tabColor theme="8"/>
  </sheetPr>
  <dimension ref="A1"/>
  <sheetViews>
    <sheetView workbookViewId="0">
      <selection activeCell="J11" sqref="J11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927EE-7E2C-4483-98FA-4BB9A92264CF}">
  <sheetPr codeName="Sheet4">
    <tabColor theme="9"/>
  </sheetPr>
  <dimension ref="A1:N18"/>
  <sheetViews>
    <sheetView workbookViewId="0">
      <selection activeCell="J12" sqref="J12"/>
    </sheetView>
  </sheetViews>
  <sheetFormatPr defaultRowHeight="15" x14ac:dyDescent="0.25"/>
  <cols>
    <col min="1" max="1" width="9.7109375" bestFit="1" customWidth="1"/>
  </cols>
  <sheetData>
    <row r="1" spans="1:14" x14ac:dyDescent="0.25">
      <c r="B1" s="7" t="s">
        <v>61</v>
      </c>
      <c r="N1" s="7" t="s">
        <v>62</v>
      </c>
    </row>
    <row r="2" spans="1:14" x14ac:dyDescent="0.25">
      <c r="B2" s="7"/>
      <c r="N2" s="7"/>
    </row>
    <row r="3" spans="1:14" x14ac:dyDescent="0.25">
      <c r="B3" s="7"/>
      <c r="N3" s="7"/>
    </row>
    <row r="4" spans="1:14" x14ac:dyDescent="0.25">
      <c r="B4" s="7"/>
      <c r="N4" s="7"/>
    </row>
    <row r="5" spans="1:14" x14ac:dyDescent="0.25">
      <c r="B5" s="7"/>
    </row>
    <row r="9" spans="1:14" x14ac:dyDescent="0.25">
      <c r="A9" s="11" t="s">
        <v>55</v>
      </c>
      <c r="B9" s="7">
        <v>1000000</v>
      </c>
    </row>
    <row r="11" spans="1:14" x14ac:dyDescent="0.25">
      <c r="J11" s="11" t="s">
        <v>56</v>
      </c>
    </row>
    <row r="12" spans="1:14" x14ac:dyDescent="0.25">
      <c r="J12" s="7">
        <v>38</v>
      </c>
    </row>
    <row r="14" spans="1:14" x14ac:dyDescent="0.25">
      <c r="M14" s="20"/>
    </row>
    <row r="18" ht="20.25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Data_Ckeck1">
                <anchor moveWithCells="1">
                  <from>
                    <xdr:col>2</xdr:col>
                    <xdr:colOff>457200</xdr:colOff>
                    <xdr:row>1</xdr:row>
                    <xdr:rowOff>28575</xdr:rowOff>
                  </from>
                  <to>
                    <xdr:col>4</xdr:col>
                    <xdr:colOff>419100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4_Click">
                <anchor moveWithCells="1">
                  <from>
                    <xdr:col>2</xdr:col>
                    <xdr:colOff>495300</xdr:colOff>
                    <xdr:row>4</xdr:row>
                    <xdr:rowOff>161925</xdr:rowOff>
                  </from>
                  <to>
                    <xdr:col>4</xdr:col>
                    <xdr:colOff>447675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Button5_Click">
                <anchor moveWithCells="1">
                  <from>
                    <xdr:col>2</xdr:col>
                    <xdr:colOff>457200</xdr:colOff>
                    <xdr:row>7</xdr:row>
                    <xdr:rowOff>161925</xdr:rowOff>
                  </from>
                  <to>
                    <xdr:col>4</xdr:col>
                    <xdr:colOff>457200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utton7_Click">
                <anchor moveWithCells="1" sizeWithCells="1">
                  <from>
                    <xdr:col>2</xdr:col>
                    <xdr:colOff>485775</xdr:colOff>
                    <xdr:row>10</xdr:row>
                    <xdr:rowOff>38100</xdr:rowOff>
                  </from>
                  <to>
                    <xdr:col>4</xdr:col>
                    <xdr:colOff>447675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Button8_Click">
                <anchor moveWithCells="1" sizeWithCells="1">
                  <from>
                    <xdr:col>2</xdr:col>
                    <xdr:colOff>485775</xdr:colOff>
                    <xdr:row>12</xdr:row>
                    <xdr:rowOff>171450</xdr:rowOff>
                  </from>
                  <to>
                    <xdr:col>4</xdr:col>
                    <xdr:colOff>447675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Button9_Click">
                <anchor moveWithCells="1">
                  <from>
                    <xdr:col>2</xdr:col>
                    <xdr:colOff>457200</xdr:colOff>
                    <xdr:row>16</xdr:row>
                    <xdr:rowOff>0</xdr:rowOff>
                  </from>
                  <to>
                    <xdr:col>4</xdr:col>
                    <xdr:colOff>428625</xdr:colOff>
                    <xdr:row>17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utton10_Click">
                <anchor moveWithCells="1">
                  <from>
                    <xdr:col>5</xdr:col>
                    <xdr:colOff>609600</xdr:colOff>
                    <xdr:row>1</xdr:row>
                    <xdr:rowOff>38100</xdr:rowOff>
                  </from>
                  <to>
                    <xdr:col>7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utton11_Click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7</xdr:col>
                    <xdr:colOff>590550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Button12_Click">
                <anchor moveWithCells="1" sizeWithCells="1">
                  <from>
                    <xdr:col>5</xdr:col>
                    <xdr:colOff>600075</xdr:colOff>
                    <xdr:row>6</xdr:row>
                    <xdr:rowOff>180975</xdr:rowOff>
                  </from>
                  <to>
                    <xdr:col>7</xdr:col>
                    <xdr:colOff>590550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Button13_Click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Button16_Click">
                <anchor moveWithCells="1" sizeWithCells="1">
                  <from>
                    <xdr:col>6</xdr:col>
                    <xdr:colOff>0</xdr:colOff>
                    <xdr:row>13</xdr:row>
                    <xdr:rowOff>0</xdr:rowOff>
                  </from>
                  <to>
                    <xdr:col>8</xdr:col>
                    <xdr:colOff>9525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Button17_Click">
                <anchor moveWithCells="1" sizeWithCells="1">
                  <from>
                    <xdr:col>6</xdr:col>
                    <xdr:colOff>0</xdr:colOff>
                    <xdr:row>16</xdr:row>
                    <xdr:rowOff>9525</xdr:rowOff>
                  </from>
                  <to>
                    <xdr:col>7</xdr:col>
                    <xdr:colOff>590550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Button18_Click">
                <anchor moveWithCells="1" sizeWithCells="1">
                  <from>
                    <xdr:col>15</xdr:col>
                    <xdr:colOff>0</xdr:colOff>
                    <xdr:row>0</xdr:row>
                    <xdr:rowOff>171450</xdr:rowOff>
                  </from>
                  <to>
                    <xdr:col>17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F0727-C319-47F4-BD5E-4FAF8BE36979}">
  <sheetPr codeName="Sheet5">
    <tabColor theme="5"/>
  </sheetPr>
  <dimension ref="A1:B11"/>
  <sheetViews>
    <sheetView workbookViewId="0">
      <selection activeCell="H16" sqref="H16"/>
    </sheetView>
  </sheetViews>
  <sheetFormatPr defaultRowHeight="15" x14ac:dyDescent="0.25"/>
  <sheetData>
    <row r="1" spans="1:2" x14ac:dyDescent="0.25">
      <c r="A1" s="7">
        <v>105</v>
      </c>
    </row>
    <row r="2" spans="1:2" x14ac:dyDescent="0.25">
      <c r="A2" s="7">
        <v>10</v>
      </c>
    </row>
    <row r="6" spans="1:2" x14ac:dyDescent="0.25">
      <c r="A6" s="7" t="s">
        <v>57</v>
      </c>
      <c r="B6" s="7">
        <v>100</v>
      </c>
    </row>
    <row r="7" spans="1:2" x14ac:dyDescent="0.25">
      <c r="A7" s="7" t="s">
        <v>58</v>
      </c>
      <c r="B7" s="7">
        <v>1000</v>
      </c>
    </row>
    <row r="10" spans="1:2" x14ac:dyDescent="0.25">
      <c r="A10" s="7" t="s">
        <v>59</v>
      </c>
      <c r="B10" s="7">
        <v>15</v>
      </c>
    </row>
    <row r="11" spans="1:2" x14ac:dyDescent="0.25">
      <c r="A11" s="7" t="s">
        <v>60</v>
      </c>
      <c r="B11" s="7">
        <v>10000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257175</xdr:colOff>
                    <xdr:row>0</xdr:row>
                    <xdr:rowOff>95250</xdr:rowOff>
                  </from>
                  <to>
                    <xdr:col>4</xdr:col>
                    <xdr:colOff>276225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Button2_Click">
                <anchor moveWithCells="1" sizeWithCells="1">
                  <from>
                    <xdr:col>2</xdr:col>
                    <xdr:colOff>171450</xdr:colOff>
                    <xdr:row>5</xdr:row>
                    <xdr:rowOff>0</xdr:rowOff>
                  </from>
                  <to>
                    <xdr:col>4</xdr:col>
                    <xdr:colOff>276225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3_Click">
                <anchor moveWithCells="1" sizeWithCells="1">
                  <from>
                    <xdr:col>2</xdr:col>
                    <xdr:colOff>171450</xdr:colOff>
                    <xdr:row>9</xdr:row>
                    <xdr:rowOff>0</xdr:rowOff>
                  </from>
                  <to>
                    <xdr:col>4</xdr:col>
                    <xdr:colOff>352425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Operators_Button4_Click">
                <anchor moveWithCells="1" sizeWithCells="1">
                  <from>
                    <xdr:col>2</xdr:col>
                    <xdr:colOff>180975</xdr:colOff>
                    <xdr:row>12</xdr:row>
                    <xdr:rowOff>76200</xdr:rowOff>
                  </from>
                  <to>
                    <xdr:col>4</xdr:col>
                    <xdr:colOff>381000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Operators_Button5_Click">
                <anchor moveWithCells="1" sizeWithCells="1">
                  <from>
                    <xdr:col>2</xdr:col>
                    <xdr:colOff>180975</xdr:colOff>
                    <xdr:row>16</xdr:row>
                    <xdr:rowOff>0</xdr:rowOff>
                  </from>
                  <to>
                    <xdr:col>4</xdr:col>
                    <xdr:colOff>352425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F0643-2BD5-47A0-8F50-CDBD8F25FDE5}">
  <sheetPr codeName="Sheet6">
    <tabColor rgb="FFFFC000"/>
  </sheetPr>
  <dimension ref="A1:O16"/>
  <sheetViews>
    <sheetView tabSelected="1" workbookViewId="0">
      <selection activeCell="G12" sqref="G12"/>
    </sheetView>
  </sheetViews>
  <sheetFormatPr defaultRowHeight="15" x14ac:dyDescent="0.25"/>
  <cols>
    <col min="3" max="3" width="9.42578125" bestFit="1" customWidth="1"/>
    <col min="6" max="6" width="28.5703125" customWidth="1"/>
  </cols>
  <sheetData>
    <row r="1" spans="1:15" x14ac:dyDescent="0.25">
      <c r="A1">
        <v>20</v>
      </c>
      <c r="B1" t="str" cm="1">
        <f t="array" ref="B1">CheckResult(A1)</f>
        <v>Fail</v>
      </c>
      <c r="M1" s="12" t="s">
        <v>50</v>
      </c>
      <c r="N1" s="12" t="s">
        <v>51</v>
      </c>
      <c r="O1" s="12" t="s">
        <v>52</v>
      </c>
    </row>
    <row r="2" spans="1:15" x14ac:dyDescent="0.25">
      <c r="A2">
        <v>100</v>
      </c>
      <c r="B2" t="str" cm="1">
        <f t="array" ref="B2">CheckResult(A2)</f>
        <v>Pass</v>
      </c>
      <c r="C2" s="22">
        <v>33034</v>
      </c>
      <c r="D2" cm="1">
        <f t="array" ref="D2">getage(C2)</f>
        <v>35</v>
      </c>
      <c r="M2" s="11">
        <f>K2+L2</f>
        <v>0</v>
      </c>
      <c r="N2" s="11">
        <f>K2-L2</f>
        <v>0</v>
      </c>
      <c r="O2" s="11">
        <f>K2*L2</f>
        <v>0</v>
      </c>
    </row>
    <row r="3" spans="1:15" x14ac:dyDescent="0.25">
      <c r="C3" s="22">
        <v>33129</v>
      </c>
      <c r="D3" cm="1">
        <f t="array" ref="D3">getage(C3)</f>
        <v>34</v>
      </c>
      <c r="M3" s="11">
        <f t="shared" ref="M3:M16" si="0">K3+L3</f>
        <v>0</v>
      </c>
      <c r="N3" s="11">
        <f t="shared" ref="N3:N16" si="1">K3-L3</f>
        <v>0</v>
      </c>
      <c r="O3" s="11">
        <f t="shared" ref="O3:O16" si="2">K3*L3</f>
        <v>0</v>
      </c>
    </row>
    <row r="4" spans="1:15" x14ac:dyDescent="0.25">
      <c r="M4" s="11">
        <f t="shared" si="0"/>
        <v>0</v>
      </c>
      <c r="N4" s="11">
        <f t="shared" si="1"/>
        <v>0</v>
      </c>
      <c r="O4" s="11">
        <f t="shared" si="2"/>
        <v>0</v>
      </c>
    </row>
    <row r="5" spans="1:15" x14ac:dyDescent="0.25">
      <c r="C5" cm="1">
        <f t="array" ref="C5">VBAProject.Module10.SquareNumber(25)</f>
        <v>625</v>
      </c>
      <c r="F5" s="21" cm="1">
        <f t="array" ref="F5">VBAProject.Module10.SquareNumber(5000000)</f>
        <v>25000000000000</v>
      </c>
      <c r="M5" s="11">
        <f t="shared" si="0"/>
        <v>0</v>
      </c>
      <c r="N5" s="11">
        <f t="shared" si="1"/>
        <v>0</v>
      </c>
      <c r="O5" s="11">
        <f t="shared" si="2"/>
        <v>0</v>
      </c>
    </row>
    <row r="6" spans="1:15" x14ac:dyDescent="0.25">
      <c r="M6" s="11">
        <f t="shared" si="0"/>
        <v>0</v>
      </c>
      <c r="N6" s="11">
        <f t="shared" si="1"/>
        <v>0</v>
      </c>
      <c r="O6" s="11">
        <f t="shared" si="2"/>
        <v>0</v>
      </c>
    </row>
    <row r="7" spans="1:15" x14ac:dyDescent="0.25">
      <c r="M7" s="11">
        <f t="shared" si="0"/>
        <v>0</v>
      </c>
      <c r="N7" s="11">
        <f t="shared" si="1"/>
        <v>0</v>
      </c>
      <c r="O7" s="11">
        <f t="shared" si="2"/>
        <v>0</v>
      </c>
    </row>
    <row r="8" spans="1:15" x14ac:dyDescent="0.25">
      <c r="M8" s="11">
        <f t="shared" si="0"/>
        <v>0</v>
      </c>
      <c r="N8" s="11">
        <f t="shared" si="1"/>
        <v>0</v>
      </c>
      <c r="O8" s="11">
        <f t="shared" si="2"/>
        <v>0</v>
      </c>
    </row>
    <row r="9" spans="1:15" x14ac:dyDescent="0.25">
      <c r="M9" s="11">
        <f t="shared" si="0"/>
        <v>0</v>
      </c>
      <c r="N9" s="11">
        <f t="shared" si="1"/>
        <v>0</v>
      </c>
      <c r="O9" s="11">
        <f t="shared" si="2"/>
        <v>0</v>
      </c>
    </row>
    <row r="10" spans="1:15" x14ac:dyDescent="0.25">
      <c r="M10" s="11">
        <f t="shared" si="0"/>
        <v>0</v>
      </c>
      <c r="N10" s="11">
        <f t="shared" si="1"/>
        <v>0</v>
      </c>
      <c r="O10" s="11">
        <f t="shared" si="2"/>
        <v>0</v>
      </c>
    </row>
    <row r="11" spans="1:15" x14ac:dyDescent="0.25">
      <c r="M11" s="11">
        <f t="shared" si="0"/>
        <v>0</v>
      </c>
      <c r="N11" s="11">
        <f t="shared" si="1"/>
        <v>0</v>
      </c>
      <c r="O11" s="11">
        <f t="shared" si="2"/>
        <v>0</v>
      </c>
    </row>
    <row r="12" spans="1:15" x14ac:dyDescent="0.25">
      <c r="M12" s="11">
        <f t="shared" si="0"/>
        <v>0</v>
      </c>
      <c r="N12" s="11">
        <f t="shared" si="1"/>
        <v>0</v>
      </c>
      <c r="O12" s="11">
        <f t="shared" si="2"/>
        <v>0</v>
      </c>
    </row>
    <row r="13" spans="1:15" x14ac:dyDescent="0.25">
      <c r="M13" s="11">
        <f t="shared" si="0"/>
        <v>0</v>
      </c>
      <c r="N13" s="11">
        <f t="shared" si="1"/>
        <v>0</v>
      </c>
      <c r="O13" s="11">
        <f t="shared" si="2"/>
        <v>0</v>
      </c>
    </row>
    <row r="14" spans="1:15" x14ac:dyDescent="0.25">
      <c r="M14" s="11">
        <f t="shared" si="0"/>
        <v>0</v>
      </c>
      <c r="N14" s="11">
        <f t="shared" si="1"/>
        <v>0</v>
      </c>
      <c r="O14" s="11">
        <f t="shared" si="2"/>
        <v>0</v>
      </c>
    </row>
    <row r="15" spans="1:15" x14ac:dyDescent="0.25">
      <c r="M15" s="11">
        <f t="shared" si="0"/>
        <v>0</v>
      </c>
      <c r="N15" s="11">
        <f t="shared" si="1"/>
        <v>0</v>
      </c>
      <c r="O15" s="11">
        <f t="shared" si="2"/>
        <v>0</v>
      </c>
    </row>
    <row r="16" spans="1:15" x14ac:dyDescent="0.25">
      <c r="M16" s="11">
        <f t="shared" si="0"/>
        <v>0</v>
      </c>
      <c r="N16" s="11">
        <f t="shared" si="1"/>
        <v>0</v>
      </c>
      <c r="O16" s="11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Super Store Data</vt:lpstr>
      <vt:lpstr>Sales &amp; Cost Table</vt:lpstr>
      <vt:lpstr>VBE</vt:lpstr>
      <vt:lpstr>VBA Programming Basics</vt:lpstr>
      <vt:lpstr>Operators</vt:lpstr>
      <vt:lpstr>Procedures &amp; 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Kamat</dc:creator>
  <cp:lastModifiedBy>Amit Kamat</cp:lastModifiedBy>
  <dcterms:created xsi:type="dcterms:W3CDTF">2025-08-23T07:18:49Z</dcterms:created>
  <dcterms:modified xsi:type="dcterms:W3CDTF">2025-09-02T17:14:24Z</dcterms:modified>
</cp:coreProperties>
</file>